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ulrolee/hunet-course/claude-in-excel/comps-analysis/"/>
    </mc:Choice>
  </mc:AlternateContent>
  <xr:revisionPtr revIDLastSave="0" documentId="13_ncr:1_{317A1348-AB82-F344-8B6D-A0C009C56D45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Comps_Example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9" l="1"/>
  <c r="H30" i="9"/>
  <c r="H29" i="9"/>
  <c r="H28" i="9"/>
  <c r="H27" i="9"/>
  <c r="G31" i="9"/>
  <c r="G30" i="9"/>
  <c r="G29" i="9"/>
  <c r="G28" i="9"/>
  <c r="G27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H17" i="9"/>
  <c r="H16" i="9"/>
  <c r="H15" i="9"/>
  <c r="H14" i="9"/>
  <c r="H13" i="9"/>
  <c r="C17" i="9"/>
  <c r="C16" i="9"/>
  <c r="C15" i="9"/>
  <c r="C14" i="9"/>
  <c r="C13" i="9"/>
  <c r="G11" i="9"/>
  <c r="D11" i="9"/>
  <c r="E11" i="9" s="1"/>
  <c r="G10" i="9"/>
  <c r="D10" i="9"/>
  <c r="E10" i="9" s="1"/>
  <c r="G9" i="9"/>
  <c r="D9" i="9"/>
  <c r="E9" i="9" s="1"/>
  <c r="G8" i="9"/>
  <c r="D8" i="9"/>
  <c r="E8" i="9" s="1"/>
  <c r="G7" i="9"/>
  <c r="D7" i="9"/>
  <c r="E7" i="9" s="1"/>
  <c r="D29" i="9" l="1"/>
  <c r="D28" i="9"/>
  <c r="D31" i="9"/>
  <c r="G17" i="9"/>
  <c r="E31" i="9"/>
  <c r="F31" i="9"/>
  <c r="D30" i="9"/>
  <c r="E17" i="9"/>
  <c r="E27" i="9"/>
  <c r="E28" i="9"/>
  <c r="E29" i="9"/>
  <c r="E30" i="9"/>
  <c r="E13" i="9"/>
  <c r="F27" i="9"/>
  <c r="E14" i="9"/>
  <c r="F28" i="9"/>
  <c r="F29" i="9"/>
  <c r="F30" i="9"/>
  <c r="E15" i="9"/>
  <c r="E16" i="9"/>
  <c r="G13" i="9"/>
  <c r="G14" i="9"/>
  <c r="G15" i="9"/>
  <c r="G16" i="9"/>
  <c r="D27" i="9"/>
</calcChain>
</file>

<file path=xl/sharedStrings.xml><?xml version="1.0" encoding="utf-8"?>
<sst xmlns="http://schemas.openxmlformats.org/spreadsheetml/2006/main" count="54" uniqueCount="43">
  <si>
    <t>TECHNOLOGY — COMPARABLE COMPANY ANALYSIS</t>
  </si>
  <si>
    <t>Microsoft (MSFT) • Alphabet (GOOGL) • Amazon (AMZN) • Apple (AAPL) • Meta (META)</t>
  </si>
  <si>
    <t>As of Q4 2025 | All figures in USD Millions except per-share amounts and ratios</t>
  </si>
  <si>
    <t>OPERATING STATISTICS &amp; FINANCIAL METRICS</t>
  </si>
  <si>
    <t>Company</t>
  </si>
  <si>
    <t>Revenue
(LTM)</t>
  </si>
  <si>
    <t>Rev Growth
(YoY)</t>
  </si>
  <si>
    <t>Gross
Profit</t>
  </si>
  <si>
    <t>Gross
Margin</t>
  </si>
  <si>
    <t>EBITDA
(LTM)</t>
  </si>
  <si>
    <t>EBITDA
Margin</t>
  </si>
  <si>
    <t>EPS</t>
  </si>
  <si>
    <t>Microsoft (MSFT)</t>
  </si>
  <si>
    <t>Alphabet (GOOGL)</t>
  </si>
  <si>
    <t>Amazon (AMZN)</t>
  </si>
  <si>
    <t>Apple (AAPL)</t>
  </si>
  <si>
    <t>Meta (META)</t>
  </si>
  <si>
    <t>Maximum</t>
  </si>
  <si>
    <t>75th Percentile</t>
  </si>
  <si>
    <t>Median</t>
  </si>
  <si>
    <t>25th Percentile</t>
  </si>
  <si>
    <t>Minimum</t>
  </si>
  <si>
    <t>VALUATION MULTIPLES &amp; INVESTMENT METRICS</t>
  </si>
  <si>
    <t>Market Cap
($mm)</t>
  </si>
  <si>
    <t>Enterprise
Value ($mm)</t>
  </si>
  <si>
    <t>EV /
Revenue</t>
  </si>
  <si>
    <t>EV /
EBITDA</t>
  </si>
  <si>
    <t>P / E
Ratio</t>
  </si>
  <si>
    <t>Div Yield
(%)</t>
  </si>
  <si>
    <t>Beta</t>
  </si>
  <si>
    <t>NOTES &amp; METHODOLOGY</t>
  </si>
  <si>
    <t>Data Sources:</t>
  </si>
  <si>
    <t>Time Period:</t>
  </si>
  <si>
    <t>EBITDA Calculation:</t>
  </si>
  <si>
    <t>Enterprise Value:</t>
  </si>
  <si>
    <t>Key Definitions:</t>
  </si>
  <si>
    <t>Investment Thesis:</t>
  </si>
  <si>
    <t>SEC EDGAR 10-K/10-Q filings, Company IR pages, Bloomberg Terminal</t>
  </si>
  <si>
    <t>LTM (Last Twelve Months) as of Q4 2025. All data audited unless noted.</t>
  </si>
  <si>
    <t>Operating Income + Depreciation &amp; Amortization (GAAP-adjusted)</t>
  </si>
  <si>
    <t>Market Cap + Net Debt (Total Debt - Cash &amp; Equivalents)</t>
  </si>
  <si>
    <t>Gross Margin = GP/Revenue; EBITDA Margin = EBITDA/Revenue; Rev Growth = YoY %</t>
  </si>
  <si>
    <t>Big Tech platform economics: evaluate cash generation, operating leverage, and AI investment cycle positioning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</si>
</sst>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&quot;x&quot;"/>
    <numFmt numFmtId="180" formatCode="0.0%"/>
    <numFmt numFmtId="184" formatCode="&quot;₩&quot;#,##0.00"/>
  </numFmts>
  <fonts count="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scheme val="minor"/>
    </font>
    <font>
      <b/>
      <sz val="13"/>
      <color rgb="FFFFFFFF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3" borderId="0" xfId="0" applyFont="1" applyFill="1" applyAlignment="1">
      <alignment horizontal="center" wrapText="1"/>
    </xf>
    <xf numFmtId="0" fontId="6" fillId="0" borderId="0" xfId="0" applyFont="1"/>
    <xf numFmtId="0" fontId="4" fillId="0" borderId="0" xfId="0" applyFont="1"/>
    <xf numFmtId="3" fontId="7" fillId="0" borderId="0" xfId="0" applyNumberFormat="1" applyFont="1" applyAlignment="1">
      <alignment horizontal="center"/>
    </xf>
    <xf numFmtId="180" fontId="7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center"/>
    </xf>
    <xf numFmtId="184" fontId="7" fillId="0" borderId="0" xfId="0" applyNumberFormat="1" applyFont="1" applyAlignment="1">
      <alignment horizontal="center"/>
    </xf>
    <xf numFmtId="0" fontId="6" fillId="4" borderId="0" xfId="0" applyFont="1" applyFill="1"/>
    <xf numFmtId="0" fontId="4" fillId="4" borderId="0" xfId="0" applyFont="1" applyFill="1" applyAlignment="1">
      <alignment horizontal="center"/>
    </xf>
    <xf numFmtId="180" fontId="4" fillId="4" borderId="0" xfId="0" applyNumberFormat="1" applyFont="1" applyFill="1" applyAlignment="1">
      <alignment horizontal="center"/>
    </xf>
    <xf numFmtId="184" fontId="4" fillId="4" borderId="0" xfId="0" applyNumberFormat="1" applyFont="1" applyFill="1" applyAlignment="1">
      <alignment horizontal="center"/>
    </xf>
    <xf numFmtId="179" fontId="4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79" fontId="4" fillId="4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8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1878D3-9806-1942-BE65-C2642F99AF6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e4fed0-1d70-43a5-aef5-eba29bc8d65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0129-89E0-844D-940B-06AC310A9BCC}">
  <dimension ref="A1:K39"/>
  <sheetViews>
    <sheetView tabSelected="1" workbookViewId="0">
      <selection sqref="A1:K1"/>
    </sheetView>
  </sheetViews>
  <sheetFormatPr baseColWidth="10" defaultRowHeight="17"/>
  <cols>
    <col min="1" max="1" width="25" customWidth="1"/>
    <col min="2" max="8" width="15.83203125" customWidth="1"/>
  </cols>
  <sheetData>
    <row r="1" spans="1:11" ht="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1:11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3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11">
      <c r="A7" s="2" t="s">
        <v>12</v>
      </c>
      <c r="B7" s="4">
        <v>261800</v>
      </c>
      <c r="C7" s="5">
        <v>0.123</v>
      </c>
      <c r="D7" s="6">
        <f>B7*0.687</f>
        <v>179856.6</v>
      </c>
      <c r="E7" s="7">
        <f>D7/B7</f>
        <v>0.68700000000000006</v>
      </c>
      <c r="F7" s="4">
        <v>125900</v>
      </c>
      <c r="G7" s="7">
        <f>F7/B7</f>
        <v>0.48090145148968677</v>
      </c>
      <c r="H7" s="8">
        <v>13.21</v>
      </c>
    </row>
    <row r="8" spans="1:11">
      <c r="A8" s="2" t="s">
        <v>13</v>
      </c>
      <c r="B8" s="4">
        <v>349800</v>
      </c>
      <c r="C8" s="5">
        <v>0.11799999999999999</v>
      </c>
      <c r="D8" s="6">
        <f>B8*0.579</f>
        <v>202534.19999999998</v>
      </c>
      <c r="E8" s="7">
        <f>D8/B8</f>
        <v>0.57899999999999996</v>
      </c>
      <c r="F8" s="4">
        <v>115700</v>
      </c>
      <c r="G8" s="7">
        <f>F8/B8</f>
        <v>0.33076043453401943</v>
      </c>
      <c r="H8" s="8">
        <v>7.54</v>
      </c>
    </row>
    <row r="9" spans="1:11">
      <c r="A9" s="2" t="s">
        <v>14</v>
      </c>
      <c r="B9" s="4">
        <v>638100</v>
      </c>
      <c r="C9" s="5">
        <v>0.105</v>
      </c>
      <c r="D9" s="6">
        <f>B9*0.473</f>
        <v>301821.3</v>
      </c>
      <c r="E9" s="7">
        <f>D9/B9</f>
        <v>0.47299999999999998</v>
      </c>
      <c r="F9" s="4">
        <v>108500</v>
      </c>
      <c r="G9" s="7">
        <f>F9/B9</f>
        <v>0.17003604450713056</v>
      </c>
      <c r="H9" s="8">
        <v>5.53</v>
      </c>
    </row>
    <row r="10" spans="1:11">
      <c r="A10" s="2" t="s">
        <v>15</v>
      </c>
      <c r="B10" s="4">
        <v>394300</v>
      </c>
      <c r="C10" s="5">
        <v>4.2000000000000003E-2</v>
      </c>
      <c r="D10" s="6">
        <f>B10*0.462</f>
        <v>182166.6</v>
      </c>
      <c r="E10" s="7">
        <f>D10/B10</f>
        <v>0.46200000000000002</v>
      </c>
      <c r="F10" s="4">
        <v>137500</v>
      </c>
      <c r="G10" s="7">
        <f>F10/B10</f>
        <v>0.34871924930256148</v>
      </c>
      <c r="H10" s="8">
        <v>6.97</v>
      </c>
    </row>
    <row r="11" spans="1:11">
      <c r="A11" s="2" t="s">
        <v>16</v>
      </c>
      <c r="B11" s="4">
        <v>164700</v>
      </c>
      <c r="C11" s="5">
        <v>0.215</v>
      </c>
      <c r="D11" s="6">
        <f>B11*0.811</f>
        <v>133571.70000000001</v>
      </c>
      <c r="E11" s="7">
        <f>D11/B11</f>
        <v>0.81100000000000005</v>
      </c>
      <c r="F11" s="4">
        <v>81300</v>
      </c>
      <c r="G11" s="7">
        <f>F11/B11</f>
        <v>0.49362477231329688</v>
      </c>
      <c r="H11" s="8">
        <v>23.86</v>
      </c>
    </row>
    <row r="13" spans="1:11">
      <c r="A13" s="9" t="s">
        <v>17</v>
      </c>
      <c r="B13" s="10"/>
      <c r="C13" s="11">
        <f>MAX(C7:C11)</f>
        <v>0.215</v>
      </c>
      <c r="D13" s="10"/>
      <c r="E13" s="11">
        <f>MAX(E7:E11)</f>
        <v>0.81100000000000005</v>
      </c>
      <c r="F13" s="10"/>
      <c r="G13" s="11">
        <f>MAX(G7:G11)</f>
        <v>0.49362477231329688</v>
      </c>
      <c r="H13" s="12">
        <f>MAX(H7:H11)</f>
        <v>23.86</v>
      </c>
    </row>
    <row r="14" spans="1:11">
      <c r="A14" s="9" t="s">
        <v>18</v>
      </c>
      <c r="B14" s="10"/>
      <c r="C14" s="11">
        <f>QUARTILE(C7:C11,3)</f>
        <v>0.123</v>
      </c>
      <c r="D14" s="10"/>
      <c r="E14" s="11">
        <f>QUARTILE(E7:E11,3)</f>
        <v>0.68700000000000006</v>
      </c>
      <c r="F14" s="10"/>
      <c r="G14" s="11">
        <f>QUARTILE(G7:G11,3)</f>
        <v>0.48090145148968677</v>
      </c>
      <c r="H14" s="12">
        <f>QUARTILE(H7:H11,3)</f>
        <v>13.21</v>
      </c>
    </row>
    <row r="15" spans="1:11">
      <c r="A15" s="9" t="s">
        <v>19</v>
      </c>
      <c r="B15" s="10"/>
      <c r="C15" s="11">
        <f>MEDIAN(C7:C11)</f>
        <v>0.11799999999999999</v>
      </c>
      <c r="D15" s="10"/>
      <c r="E15" s="11">
        <f>MEDIAN(E7:E11)</f>
        <v>0.57899999999999996</v>
      </c>
      <c r="F15" s="10"/>
      <c r="G15" s="11">
        <f>MEDIAN(G7:G11)</f>
        <v>0.34871924930256148</v>
      </c>
      <c r="H15" s="12">
        <f>MEDIAN(H7:H11)</f>
        <v>7.54</v>
      </c>
    </row>
    <row r="16" spans="1:11">
      <c r="A16" s="9" t="s">
        <v>20</v>
      </c>
      <c r="B16" s="10"/>
      <c r="C16" s="11">
        <f>QUARTILE(C7:C11,1)</f>
        <v>0.105</v>
      </c>
      <c r="D16" s="10"/>
      <c r="E16" s="11">
        <f>QUARTILE(E7:E11,1)</f>
        <v>0.47299999999999998</v>
      </c>
      <c r="F16" s="10"/>
      <c r="G16" s="11">
        <f>QUARTILE(G7:G11,1)</f>
        <v>0.33076043453401943</v>
      </c>
      <c r="H16" s="12">
        <f>QUARTILE(H7:H11,1)</f>
        <v>6.97</v>
      </c>
    </row>
    <row r="17" spans="1:11">
      <c r="A17" s="9" t="s">
        <v>21</v>
      </c>
      <c r="B17" s="10"/>
      <c r="C17" s="11">
        <f>MIN(C7:C11)</f>
        <v>4.2000000000000003E-2</v>
      </c>
      <c r="D17" s="10"/>
      <c r="E17" s="11">
        <f>MIN(E7:E11)</f>
        <v>0.46200000000000002</v>
      </c>
      <c r="F17" s="10"/>
      <c r="G17" s="11">
        <f>MIN(G7:G11)</f>
        <v>0.17003604450713056</v>
      </c>
      <c r="H17" s="12">
        <f>MIN(H7:H11)</f>
        <v>5.53</v>
      </c>
    </row>
    <row r="19" spans="1:11">
      <c r="A19" s="21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32">
      <c r="A20" s="1" t="s">
        <v>4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 t="s">
        <v>29</v>
      </c>
    </row>
    <row r="21" spans="1:11">
      <c r="A21" s="2" t="s">
        <v>12</v>
      </c>
      <c r="B21" s="4">
        <v>3180000</v>
      </c>
      <c r="C21" s="4">
        <v>3150000</v>
      </c>
      <c r="D21" s="13">
        <f>C21/B7</f>
        <v>12.032085561497325</v>
      </c>
      <c r="E21" s="13">
        <f>C21/F7</f>
        <v>25.019857029388405</v>
      </c>
      <c r="F21" s="13">
        <f>B21/(H7*7450)</f>
        <v>32.312311702035778</v>
      </c>
      <c r="G21" s="5">
        <v>7.0000000000000001E-3</v>
      </c>
      <c r="H21" s="14">
        <v>0.9</v>
      </c>
    </row>
    <row r="22" spans="1:11">
      <c r="A22" s="2" t="s">
        <v>13</v>
      </c>
      <c r="B22" s="4">
        <v>2150000</v>
      </c>
      <c r="C22" s="4">
        <v>2080000</v>
      </c>
      <c r="D22" s="13">
        <f>C22/B8</f>
        <v>5.9462550028587762</v>
      </c>
      <c r="E22" s="13">
        <f>C22/F8</f>
        <v>17.977528089887642</v>
      </c>
      <c r="F22" s="13">
        <f>B22/(H8*12200)</f>
        <v>23.372613819193809</v>
      </c>
      <c r="G22" s="5">
        <v>5.0000000000000001E-3</v>
      </c>
      <c r="H22" s="14">
        <v>1.05</v>
      </c>
    </row>
    <row r="23" spans="1:11">
      <c r="A23" s="2" t="s">
        <v>14</v>
      </c>
      <c r="B23" s="4">
        <v>2226000</v>
      </c>
      <c r="C23" s="4">
        <v>2290000</v>
      </c>
      <c r="D23" s="13">
        <f>C23/B9</f>
        <v>3.5887791882150135</v>
      </c>
      <c r="E23" s="13">
        <f>C23/F9</f>
        <v>21.105990783410139</v>
      </c>
      <c r="F23" s="13">
        <f>B23/(H9*10500)</f>
        <v>38.33634719710669</v>
      </c>
      <c r="G23" s="5">
        <v>0</v>
      </c>
      <c r="H23" s="14">
        <v>1.1499999999999999</v>
      </c>
    </row>
    <row r="24" spans="1:11">
      <c r="A24" s="2" t="s">
        <v>15</v>
      </c>
      <c r="B24" s="4">
        <v>3550000</v>
      </c>
      <c r="C24" s="4">
        <v>3530000</v>
      </c>
      <c r="D24" s="13">
        <f>C24/B10</f>
        <v>8.9525741820948515</v>
      </c>
      <c r="E24" s="13">
        <f>C24/F10</f>
        <v>25.672727272727272</v>
      </c>
      <c r="F24" s="13">
        <f>B24/(H10*15400)</f>
        <v>33.073096200786303</v>
      </c>
      <c r="G24" s="5">
        <v>5.0000000000000001E-3</v>
      </c>
      <c r="H24" s="14">
        <v>1.2</v>
      </c>
    </row>
    <row r="25" spans="1:11">
      <c r="A25" s="2" t="s">
        <v>16</v>
      </c>
      <c r="B25" s="4">
        <v>1580000</v>
      </c>
      <c r="C25" s="4">
        <v>1550000</v>
      </c>
      <c r="D25" s="13">
        <f>C25/B11</f>
        <v>9.4110503946569519</v>
      </c>
      <c r="E25" s="13">
        <f>C25/F11</f>
        <v>19.065190651906519</v>
      </c>
      <c r="F25" s="13">
        <f>B25/(H11*2540)</f>
        <v>26.070714337572849</v>
      </c>
      <c r="G25" s="5">
        <v>3.0000000000000001E-3</v>
      </c>
      <c r="H25" s="14">
        <v>1.3</v>
      </c>
    </row>
    <row r="27" spans="1:11">
      <c r="A27" s="9" t="s">
        <v>17</v>
      </c>
      <c r="B27" s="10"/>
      <c r="C27" s="10"/>
      <c r="D27" s="15">
        <f>MAX(D21:D25)</f>
        <v>12.032085561497325</v>
      </c>
      <c r="E27" s="15">
        <f>MAX(E21:E25)</f>
        <v>25.672727272727272</v>
      </c>
      <c r="F27" s="15">
        <f>MAX(F21:F25)</f>
        <v>38.33634719710669</v>
      </c>
      <c r="G27" s="11">
        <f>MAX(G21:G25)</f>
        <v>7.0000000000000001E-3</v>
      </c>
      <c r="H27" s="16">
        <f>MAX(H21:H25)</f>
        <v>1.3</v>
      </c>
    </row>
    <row r="28" spans="1:11">
      <c r="A28" s="9" t="s">
        <v>18</v>
      </c>
      <c r="B28" s="10"/>
      <c r="C28" s="10"/>
      <c r="D28" s="15">
        <f>QUARTILE(D21:D25,3)</f>
        <v>9.4110503946569519</v>
      </c>
      <c r="E28" s="15">
        <f>QUARTILE(E21:E25,3)</f>
        <v>25.019857029388405</v>
      </c>
      <c r="F28" s="15">
        <f>QUARTILE(F21:F25,3)</f>
        <v>33.073096200786303</v>
      </c>
      <c r="G28" s="11">
        <f>QUARTILE(G21:G25,3)</f>
        <v>5.0000000000000001E-3</v>
      </c>
      <c r="H28" s="16">
        <f>QUARTILE(H21:H25,3)</f>
        <v>1.2</v>
      </c>
    </row>
    <row r="29" spans="1:11">
      <c r="A29" s="9" t="s">
        <v>19</v>
      </c>
      <c r="B29" s="10"/>
      <c r="C29" s="10"/>
      <c r="D29" s="15">
        <f>MEDIAN(D21:D25)</f>
        <v>8.9525741820948515</v>
      </c>
      <c r="E29" s="15">
        <f>MEDIAN(E21:E25)</f>
        <v>21.105990783410139</v>
      </c>
      <c r="F29" s="15">
        <f>MEDIAN(F21:F25)</f>
        <v>32.312311702035778</v>
      </c>
      <c r="G29" s="11">
        <f>MEDIAN(G21:G25)</f>
        <v>5.0000000000000001E-3</v>
      </c>
      <c r="H29" s="16">
        <f>MEDIAN(H21:H25)</f>
        <v>1.1499999999999999</v>
      </c>
    </row>
    <row r="30" spans="1:11">
      <c r="A30" s="9" t="s">
        <v>20</v>
      </c>
      <c r="B30" s="10"/>
      <c r="C30" s="10"/>
      <c r="D30" s="15">
        <f>QUARTILE(D21:D25,1)</f>
        <v>5.9462550028587762</v>
      </c>
      <c r="E30" s="15">
        <f>QUARTILE(E21:E25,1)</f>
        <v>19.065190651906519</v>
      </c>
      <c r="F30" s="15">
        <f>QUARTILE(F21:F25,1)</f>
        <v>26.070714337572849</v>
      </c>
      <c r="G30" s="11">
        <f>QUARTILE(G21:G25,1)</f>
        <v>3.0000000000000001E-3</v>
      </c>
      <c r="H30" s="16">
        <f>QUARTILE(H21:H25,1)</f>
        <v>1.05</v>
      </c>
    </row>
    <row r="31" spans="1:11">
      <c r="A31" s="9" t="s">
        <v>21</v>
      </c>
      <c r="B31" s="10"/>
      <c r="C31" s="10"/>
      <c r="D31" s="15">
        <f>MIN(D21:D25)</f>
        <v>3.5887791882150135</v>
      </c>
      <c r="E31" s="15">
        <f>MIN(E21:E25)</f>
        <v>17.977528089887642</v>
      </c>
      <c r="F31" s="15">
        <f>MIN(F21:F25)</f>
        <v>23.372613819193809</v>
      </c>
      <c r="G31" s="11">
        <f>MIN(G21:G25)</f>
        <v>0</v>
      </c>
      <c r="H31" s="16">
        <f>MIN(H21:H25)</f>
        <v>0.9</v>
      </c>
    </row>
    <row r="33" spans="1:11">
      <c r="A33" s="21" t="s">
        <v>30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>
      <c r="A34" s="2" t="s">
        <v>31</v>
      </c>
      <c r="B34" s="3" t="s">
        <v>37</v>
      </c>
    </row>
    <row r="35" spans="1:11">
      <c r="A35" s="2" t="s">
        <v>32</v>
      </c>
      <c r="B35" s="3" t="s">
        <v>38</v>
      </c>
    </row>
    <row r="36" spans="1:11">
      <c r="A36" s="2" t="s">
        <v>33</v>
      </c>
      <c r="B36" s="3" t="s">
        <v>39</v>
      </c>
    </row>
    <row r="37" spans="1:11">
      <c r="A37" s="2" t="s">
        <v>34</v>
      </c>
      <c r="B37" s="3" t="s">
        <v>40</v>
      </c>
    </row>
    <row r="38" spans="1:11">
      <c r="A38" s="2" t="s">
        <v>35</v>
      </c>
      <c r="B38" s="3" t="s">
        <v>41</v>
      </c>
    </row>
    <row r="39" spans="1:11">
      <c r="A39" s="2" t="s">
        <v>36</v>
      </c>
      <c r="B39" s="3" t="s">
        <v>42</v>
      </c>
    </row>
  </sheetData>
  <mergeCells count="6">
    <mergeCell ref="A33:K33"/>
    <mergeCell ref="A1:K1"/>
    <mergeCell ref="A2:K2"/>
    <mergeCell ref="A3:K3"/>
    <mergeCell ref="A5:K5"/>
    <mergeCell ref="A19:K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Comps_Example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CHULRO LEE</cp:lastModifiedBy>
  <dcterms:created xsi:type="dcterms:W3CDTF">2026-03-23T01:25:45Z</dcterms:created>
  <dcterms:modified xsi:type="dcterms:W3CDTF">2026-04-08T08:12:01Z</dcterms:modified>
</cp:coreProperties>
</file>